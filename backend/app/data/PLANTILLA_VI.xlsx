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PROYECTO\PROJECT\FORMATO_VI\vi-app\backend\app\data\"/>
    </mc:Choice>
  </mc:AlternateContent>
  <xr:revisionPtr revIDLastSave="0" documentId="13_ncr:1_{84A083ED-50E4-4568-B316-90247090B8DC}" xr6:coauthVersionLast="47" xr6:coauthVersionMax="47" xr10:uidLastSave="{00000000-0000-0000-0000-000000000000}"/>
  <bookViews>
    <workbookView xWindow="-28920" yWindow="-105" windowWidth="29040" windowHeight="15720" xr2:uid="{3476B835-B212-4DC6-9CBE-82C3B909FDF7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9" i="1" l="1"/>
  <c r="R9" i="1"/>
  <c r="U9" i="1"/>
  <c r="BC9" i="1" s="1"/>
  <c r="AC9" i="1"/>
  <c r="AD9" i="1"/>
  <c r="AG9" i="1"/>
  <c r="BE9" i="1" s="1"/>
  <c r="AO9" i="1"/>
  <c r="AQ9" i="1" s="1"/>
  <c r="AR9" i="1" s="1"/>
  <c r="AP9" i="1"/>
  <c r="AS9" i="1"/>
  <c r="BF9" i="1" s="1"/>
  <c r="AW9" i="1"/>
  <c r="AV9" i="1"/>
  <c r="AU9" i="1"/>
  <c r="S9" i="1" l="1"/>
  <c r="T9" i="1" s="1"/>
  <c r="AE9" i="1"/>
  <c r="AF9" i="1" s="1"/>
  <c r="BD9" i="1"/>
  <c r="BG9" i="1" s="1"/>
  <c r="BH9" i="1" s="1"/>
  <c r="BB9" i="1"/>
  <c r="BL9" i="1" s="1"/>
  <c r="BI9" i="1" l="1"/>
  <c r="BJ9" i="1" s="1"/>
  <c r="BK9" i="1" s="1"/>
  <c r="AT9" i="1" s="1"/>
  <c r="J6" i="1" l="1"/>
  <c r="BA9" i="1" s="1"/>
  <c r="AH6" i="1" l="1"/>
  <c r="AY9" i="1" s="1"/>
  <c r="V6" i="1" l="1"/>
  <c r="AZ9" i="1" s="1"/>
  <c r="AX9" i="1" s="1"/>
</calcChain>
</file>

<file path=xl/sharedStrings.xml><?xml version="1.0" encoding="utf-8"?>
<sst xmlns="http://schemas.openxmlformats.org/spreadsheetml/2006/main" count="80" uniqueCount="49">
  <si>
    <t>FORMATO</t>
  </si>
  <si>
    <t>Código: F05-GA-PR-01</t>
  </si>
  <si>
    <t>Q3/Q1</t>
  </si>
  <si>
    <t xml:space="preserve">  INGRESO DE DATOS DE LA VERIFICACIÓN INICIAL DE MEDIDORES EN LA COMPUTADORA</t>
  </si>
  <si>
    <t>Versión: 08</t>
  </si>
  <si>
    <t>Q3 (m3/h):</t>
  </si>
  <si>
    <t>Fecha de Vigencia:  2024-05-14</t>
  </si>
  <si>
    <r>
      <t>Q3 (m</t>
    </r>
    <r>
      <rPr>
        <b/>
        <vertAlign val="superscript"/>
        <sz val="11"/>
        <color rgb="FF000000"/>
        <rFont val="Calibri"/>
        <family val="2"/>
      </rPr>
      <t>3</t>
    </r>
    <r>
      <rPr>
        <b/>
        <sz val="10"/>
        <rFont val="Arial"/>
        <family val="2"/>
      </rPr>
      <t>/h):</t>
    </r>
  </si>
  <si>
    <t>Alcance Q3/Q1:</t>
  </si>
  <si>
    <t>MAXIMO ERROR PERMISIBLE (EMP):</t>
  </si>
  <si>
    <t>Q3</t>
  </si>
  <si>
    <t>Q2</t>
  </si>
  <si>
    <t>Q1</t>
  </si>
  <si>
    <t>Revisado por:</t>
  </si>
  <si>
    <t>-</t>
  </si>
  <si>
    <t>Fecha:</t>
  </si>
  <si>
    <t>Presión Estática:    0=conforme; 1 = Daño Físico;   2 = Fuga;  3 = Picado; 4 = Desfasado; 5 = Paralizado</t>
  </si>
  <si>
    <t xml:space="preserve">(±) 2% </t>
  </si>
  <si>
    <t>(±) 2%</t>
  </si>
  <si>
    <t>(±) 5%</t>
  </si>
  <si>
    <t>Aprobado por:</t>
  </si>
  <si>
    <t>Item</t>
  </si>
  <si>
    <t xml:space="preserve">Fecha de Ensayo presion estatica </t>
  </si>
  <si>
    <t>Fecha de Ensayo errores de indicacion</t>
  </si>
  <si>
    <t>N° de banco de ensayo</t>
  </si>
  <si>
    <t>1' Técnico</t>
  </si>
  <si>
    <t>Nro de ceritificado</t>
  </si>
  <si>
    <t># Medidor</t>
  </si>
  <si>
    <t>Presión Estática</t>
  </si>
  <si>
    <t>Estado</t>
  </si>
  <si>
    <t>RANGOS ACEPTABLES DE CAUDAL</t>
  </si>
  <si>
    <t>Presión (bar)</t>
  </si>
  <si>
    <t>Temperatura</t>
  </si>
  <si>
    <t>Presión Entrada</t>
  </si>
  <si>
    <t>Presión Salida</t>
  </si>
  <si>
    <t>L.I.</t>
  </si>
  <si>
    <t>L.F.</t>
  </si>
  <si>
    <t>Vol. P</t>
  </si>
  <si>
    <t>Tiempo</t>
  </si>
  <si>
    <t>E %</t>
  </si>
  <si>
    <t>Caudal</t>
  </si>
  <si>
    <t>Ley Signos y Errores</t>
  </si>
  <si>
    <t>A</t>
  </si>
  <si>
    <t>U</t>
  </si>
  <si>
    <t>X</t>
  </si>
  <si>
    <t>Y</t>
  </si>
  <si>
    <t>Z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</si>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</sst>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yyyy\-mm\-dd"/>
    <numFmt numFmtId="165" formatCode="0.0"/>
    <numFmt numFmtId="166" formatCode="yyyy\-mm\-dd;@"/>
    <numFmt numFmtId="167" formatCode="00000"/>
    <numFmt numFmtId="168" formatCode="#,##0.0"/>
    <numFmt numFmtId="169" formatCode="#,##0.000"/>
    <numFmt numFmtId="170" formatCode="h:mm:ss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color rgb="FF000000"/>
      <name val="Calibri"/>
      <family val="2"/>
    </font>
    <font>
      <b/>
      <sz val="10"/>
      <name val="Arial"/>
      <family val="2"/>
    </font>
    <font>
      <b/>
      <vertAlign val="superscript"/>
      <sz val="11"/>
      <color rgb="FF000000"/>
      <name val="Calibri"/>
      <family val="2"/>
    </font>
    <font>
      <b/>
      <i/>
      <u/>
      <sz val="10"/>
      <name val="Arial"/>
      <family val="2"/>
    </font>
    <font>
      <b/>
      <sz val="11"/>
      <name val="Arial"/>
      <family val="2"/>
    </font>
    <font>
      <b/>
      <sz val="10"/>
      <color rgb="FFFF0000"/>
      <name val="Arial"/>
      <family val="2"/>
    </font>
    <font>
      <sz val="10"/>
      <name val="Arial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sz val="10"/>
      <color rgb="FF1F497D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DE9D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AEEF3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DDD9C4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99FFCC"/>
        <bgColor rgb="FF000000"/>
      </patternFill>
    </fill>
    <fill>
      <patternFill patternType="solid">
        <fgColor rgb="FF92D050"/>
        <bgColor rgb="FF000000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1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1" fillId="0" borderId="0"/>
    <xf numFmtId="0" fontId="15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</cellStyleXfs>
  <cellXfs count="146">
    <xf numFmtId="0" fontId="0" fillId="0" borderId="0" xfId="0"/>
    <xf numFmtId="0" fontId="4" fillId="0" borderId="2" xfId="2" applyFont="1" applyBorder="1" applyAlignment="1">
      <alignment vertical="center"/>
    </xf>
    <xf numFmtId="0" fontId="4" fillId="0" borderId="3" xfId="2" applyFont="1" applyBorder="1" applyAlignment="1">
      <alignment vertical="center"/>
    </xf>
    <xf numFmtId="0" fontId="4" fillId="0" borderId="4" xfId="2" applyFont="1" applyBorder="1" applyAlignment="1">
      <alignment vertical="center"/>
    </xf>
    <xf numFmtId="0" fontId="4" fillId="0" borderId="0" xfId="2" applyFont="1"/>
    <xf numFmtId="0" fontId="4" fillId="0" borderId="0" xfId="1" applyFont="1"/>
    <xf numFmtId="0" fontId="7" fillId="3" borderId="5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/>
    </xf>
    <xf numFmtId="0" fontId="8" fillId="0" borderId="8" xfId="1" applyFont="1" applyBorder="1" applyAlignment="1">
      <alignment horizontal="center" shrinkToFit="1"/>
    </xf>
    <xf numFmtId="0" fontId="4" fillId="0" borderId="8" xfId="2" applyFont="1" applyBorder="1" applyAlignment="1">
      <alignment horizontal="center"/>
    </xf>
    <xf numFmtId="0" fontId="4" fillId="0" borderId="0" xfId="2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9" xfId="2" applyFont="1" applyBorder="1" applyAlignment="1">
      <alignment vertical="center"/>
    </xf>
    <xf numFmtId="0" fontId="4" fillId="0" borderId="0" xfId="2" applyFont="1" applyAlignment="1">
      <alignment vertical="center"/>
    </xf>
    <xf numFmtId="0" fontId="4" fillId="0" borderId="10" xfId="2" applyFont="1" applyBorder="1" applyAlignment="1">
      <alignment vertical="center"/>
    </xf>
    <xf numFmtId="165" fontId="4" fillId="0" borderId="8" xfId="2" applyNumberFormat="1" applyFont="1" applyBorder="1" applyAlignment="1">
      <alignment horizontal="center"/>
    </xf>
    <xf numFmtId="0" fontId="4" fillId="0" borderId="11" xfId="2" applyFont="1" applyBorder="1" applyAlignment="1">
      <alignment vertical="center"/>
    </xf>
    <xf numFmtId="0" fontId="4" fillId="0" borderId="12" xfId="2" applyFont="1" applyBorder="1" applyAlignment="1">
      <alignment vertical="center"/>
    </xf>
    <xf numFmtId="0" fontId="4" fillId="0" borderId="13" xfId="2" applyFont="1" applyBorder="1" applyAlignment="1">
      <alignment vertical="center"/>
    </xf>
    <xf numFmtId="166" fontId="3" fillId="0" borderId="14" xfId="1" applyNumberFormat="1" applyFont="1" applyBorder="1" applyAlignment="1">
      <alignment horizontal="center" vertical="center"/>
    </xf>
    <xf numFmtId="0" fontId="3" fillId="0" borderId="0" xfId="1" applyFont="1" applyAlignment="1">
      <alignment horizontal="left" vertical="center"/>
    </xf>
    <xf numFmtId="0" fontId="3" fillId="0" borderId="0" xfId="2" applyFont="1" applyAlignment="1">
      <alignment shrinkToFit="1"/>
    </xf>
    <xf numFmtId="0" fontId="3" fillId="0" borderId="0" xfId="1" applyFont="1" applyAlignment="1">
      <alignment shrinkToFit="1"/>
    </xf>
    <xf numFmtId="0" fontId="3" fillId="0" borderId="0" xfId="2" applyFont="1" applyAlignment="1">
      <alignment horizontal="center" shrinkToFit="1"/>
    </xf>
    <xf numFmtId="0" fontId="3" fillId="0" borderId="0" xfId="1" applyFont="1" applyAlignment="1">
      <alignment horizontal="center" shrinkToFit="1"/>
    </xf>
    <xf numFmtId="0" fontId="3" fillId="0" borderId="8" xfId="2" applyFont="1" applyBorder="1" applyAlignment="1">
      <alignment horizontal="center" shrinkToFit="1"/>
    </xf>
    <xf numFmtId="170" fontId="3" fillId="13" borderId="8" xfId="1" applyNumberFormat="1" applyFont="1" applyFill="1" applyBorder="1" applyAlignment="1">
      <alignment horizontal="center" shrinkToFit="1"/>
    </xf>
    <xf numFmtId="167" fontId="10" fillId="5" borderId="36" xfId="2" applyNumberFormat="1" applyFont="1" applyFill="1" applyBorder="1" applyAlignment="1">
      <alignment horizontal="center" vertical="center" textRotation="90" shrinkToFit="1"/>
    </xf>
    <xf numFmtId="167" fontId="10" fillId="5" borderId="38" xfId="2" applyNumberFormat="1" applyFont="1" applyFill="1" applyBorder="1" applyAlignment="1">
      <alignment vertical="center" textRotation="90" shrinkToFit="1"/>
    </xf>
    <xf numFmtId="167" fontId="10" fillId="5" borderId="37" xfId="2" applyNumberFormat="1" applyFont="1" applyFill="1" applyBorder="1" applyAlignment="1">
      <alignment vertical="center" textRotation="90" shrinkToFit="1"/>
    </xf>
    <xf numFmtId="167" fontId="10" fillId="5" borderId="38" xfId="2" applyNumberFormat="1" applyFont="1" applyFill="1" applyBorder="1" applyAlignment="1">
      <alignment horizontal="center" vertical="center" textRotation="90" shrinkToFit="1"/>
    </xf>
    <xf numFmtId="167" fontId="10" fillId="5" borderId="39" xfId="2" applyNumberFormat="1" applyFont="1" applyFill="1" applyBorder="1" applyAlignment="1">
      <alignment horizontal="center" vertical="center" textRotation="90" shrinkToFit="1"/>
    </xf>
    <xf numFmtId="167" fontId="10" fillId="5" borderId="36" xfId="2" applyNumberFormat="1" applyFont="1" applyFill="1" applyBorder="1" applyAlignment="1">
      <alignment horizontal="center" vertical="center" shrinkToFit="1"/>
    </xf>
    <xf numFmtId="167" fontId="10" fillId="4" borderId="36" xfId="2" applyNumberFormat="1" applyFont="1" applyFill="1" applyBorder="1" applyAlignment="1">
      <alignment horizontal="center" vertical="center" shrinkToFit="1"/>
    </xf>
    <xf numFmtId="167" fontId="10" fillId="4" borderId="37" xfId="2" applyNumberFormat="1" applyFont="1" applyFill="1" applyBorder="1" applyAlignment="1">
      <alignment horizontal="center" vertical="center" shrinkToFit="1"/>
    </xf>
    <xf numFmtId="167" fontId="10" fillId="8" borderId="36" xfId="2" applyNumberFormat="1" applyFont="1" applyFill="1" applyBorder="1" applyAlignment="1">
      <alignment horizontal="center" vertical="center" shrinkToFit="1"/>
    </xf>
    <xf numFmtId="0" fontId="10" fillId="8" borderId="36" xfId="2" applyFont="1" applyFill="1" applyBorder="1" applyAlignment="1">
      <alignment horizontal="center" shrinkToFit="1"/>
    </xf>
    <xf numFmtId="1" fontId="3" fillId="10" borderId="8" xfId="1" applyNumberFormat="1" applyFont="1" applyFill="1" applyBorder="1" applyAlignment="1">
      <alignment horizontal="center" shrinkToFit="1"/>
    </xf>
    <xf numFmtId="164" fontId="3" fillId="2" borderId="8" xfId="1" applyNumberFormat="1" applyFont="1" applyFill="1" applyBorder="1" applyAlignment="1">
      <alignment horizontal="center" shrinkToFit="1"/>
    </xf>
    <xf numFmtId="1" fontId="3" fillId="2" borderId="8" xfId="2" applyNumberFormat="1" applyFont="1" applyFill="1" applyBorder="1" applyAlignment="1">
      <alignment horizontal="center" vertical="center" shrinkToFit="1"/>
    </xf>
    <xf numFmtId="0" fontId="15" fillId="2" borderId="8" xfId="0" applyFont="1" applyFill="1" applyBorder="1" applyAlignment="1">
      <alignment horizontal="center"/>
    </xf>
    <xf numFmtId="167" fontId="10" fillId="0" borderId="8" xfId="1" applyNumberFormat="1" applyFont="1" applyBorder="1" applyAlignment="1">
      <alignment horizontal="center" shrinkToFit="1"/>
    </xf>
    <xf numFmtId="165" fontId="16" fillId="10" borderId="8" xfId="1" applyNumberFormat="1" applyFont="1" applyFill="1" applyBorder="1" applyAlignment="1">
      <alignment horizontal="center" shrinkToFit="1"/>
    </xf>
    <xf numFmtId="1" fontId="16" fillId="10" borderId="8" xfId="1" applyNumberFormat="1" applyFont="1" applyFill="1" applyBorder="1" applyAlignment="1">
      <alignment horizontal="center" shrinkToFit="1"/>
    </xf>
    <xf numFmtId="168" fontId="16" fillId="0" borderId="8" xfId="1" applyNumberFormat="1" applyFont="1" applyBorder="1" applyAlignment="1">
      <alignment horizontal="center" shrinkToFit="1"/>
    </xf>
    <xf numFmtId="169" fontId="16" fillId="0" borderId="8" xfId="1" applyNumberFormat="1" applyFont="1" applyBorder="1" applyAlignment="1">
      <alignment horizontal="center" shrinkToFit="1"/>
    </xf>
    <xf numFmtId="4" fontId="3" fillId="10" borderId="8" xfId="5" applyNumberFormat="1" applyFill="1" applyBorder="1" applyAlignment="1">
      <alignment horizontal="center" shrinkToFit="1"/>
    </xf>
    <xf numFmtId="4" fontId="3" fillId="0" borderId="8" xfId="1" applyNumberFormat="1" applyFont="1" applyBorder="1" applyAlignment="1">
      <alignment horizontal="center" shrinkToFit="1"/>
    </xf>
    <xf numFmtId="4" fontId="3" fillId="9" borderId="8" xfId="1" applyNumberFormat="1" applyFont="1" applyFill="1" applyBorder="1" applyAlignment="1">
      <alignment horizontal="center" shrinkToFit="1"/>
    </xf>
    <xf numFmtId="4" fontId="3" fillId="4" borderId="8" xfId="1" applyNumberFormat="1" applyFont="1" applyFill="1" applyBorder="1" applyAlignment="1">
      <alignment horizontal="center" shrinkToFit="1"/>
    </xf>
    <xf numFmtId="165" fontId="3" fillId="11" borderId="8" xfId="1" applyNumberFormat="1" applyFont="1" applyFill="1" applyBorder="1" applyAlignment="1">
      <alignment horizontal="center" shrinkToFit="1"/>
    </xf>
    <xf numFmtId="169" fontId="4" fillId="0" borderId="8" xfId="1" applyNumberFormat="1" applyFont="1" applyBorder="1" applyAlignment="1">
      <alignment horizontal="center" shrinkToFit="1"/>
    </xf>
    <xf numFmtId="168" fontId="17" fillId="11" borderId="8" xfId="1" applyNumberFormat="1" applyFont="1" applyFill="1" applyBorder="1" applyAlignment="1">
      <alignment horizontal="center" vertical="center" shrinkToFit="1"/>
    </xf>
    <xf numFmtId="169" fontId="3" fillId="0" borderId="8" xfId="1" applyNumberFormat="1" applyFont="1" applyBorder="1" applyAlignment="1">
      <alignment horizontal="center" shrinkToFit="1"/>
    </xf>
    <xf numFmtId="0" fontId="3" fillId="0" borderId="8" xfId="1" applyFont="1" applyBorder="1" applyAlignment="1">
      <alignment horizontal="center" shrinkToFit="1"/>
    </xf>
    <xf numFmtId="0" fontId="18" fillId="12" borderId="8" xfId="5" applyFont="1" applyFill="1" applyBorder="1" applyAlignment="1">
      <alignment horizontal="center" vertical="center" shrinkToFit="1"/>
    </xf>
    <xf numFmtId="0" fontId="19" fillId="12" borderId="8" xfId="5" applyFont="1" applyFill="1" applyBorder="1" applyAlignment="1">
      <alignment horizontal="center" vertical="center" shrinkToFit="1"/>
    </xf>
    <xf numFmtId="0" fontId="14" fillId="3" borderId="33" xfId="2" applyFont="1" applyFill="1" applyBorder="1" applyAlignment="1">
      <alignment horizontal="center" shrinkToFit="1"/>
    </xf>
    <xf numFmtId="0" fontId="14" fillId="3" borderId="34" xfId="2" applyFont="1" applyFill="1" applyBorder="1" applyAlignment="1">
      <alignment horizontal="center" shrinkToFit="1"/>
    </xf>
    <xf numFmtId="0" fontId="14" fillId="3" borderId="32" xfId="2" applyFont="1" applyFill="1" applyBorder="1" applyAlignment="1">
      <alignment horizontal="center" shrinkToFit="1"/>
    </xf>
    <xf numFmtId="167" fontId="10" fillId="4" borderId="40" xfId="2" applyNumberFormat="1" applyFont="1" applyFill="1" applyBorder="1" applyAlignment="1">
      <alignment horizontal="center" vertical="center" textRotation="1" shrinkToFit="1"/>
    </xf>
    <xf numFmtId="167" fontId="10" fillId="4" borderId="41" xfId="2" applyNumberFormat="1" applyFont="1" applyFill="1" applyBorder="1" applyAlignment="1">
      <alignment horizontal="center" vertical="center" textRotation="1" shrinkToFit="1"/>
    </xf>
    <xf numFmtId="167" fontId="10" fillId="4" borderId="39" xfId="2" applyNumberFormat="1" applyFont="1" applyFill="1" applyBorder="1" applyAlignment="1">
      <alignment horizontal="center" vertical="center" textRotation="1" shrinkToFit="1"/>
    </xf>
    <xf numFmtId="167" fontId="10" fillId="4" borderId="36" xfId="2" applyNumberFormat="1" applyFont="1" applyFill="1" applyBorder="1" applyAlignment="1">
      <alignment horizontal="center" vertical="center" textRotation="1" shrinkToFit="1"/>
    </xf>
    <xf numFmtId="167" fontId="10" fillId="9" borderId="40" xfId="2" applyNumberFormat="1" applyFont="1" applyFill="1" applyBorder="1" applyAlignment="1">
      <alignment horizontal="center" vertical="center" shrinkToFit="1"/>
    </xf>
    <xf numFmtId="167" fontId="10" fillId="9" borderId="41" xfId="2" applyNumberFormat="1" applyFont="1" applyFill="1" applyBorder="1" applyAlignment="1">
      <alignment horizontal="center" vertical="center" shrinkToFit="1"/>
    </xf>
    <xf numFmtId="167" fontId="10" fillId="9" borderId="39" xfId="2" applyNumberFormat="1" applyFont="1" applyFill="1" applyBorder="1" applyAlignment="1">
      <alignment horizontal="center" vertical="center" shrinkToFit="1"/>
    </xf>
    <xf numFmtId="3" fontId="13" fillId="7" borderId="23" xfId="2" applyNumberFormat="1" applyFont="1" applyFill="1" applyBorder="1" applyAlignment="1">
      <alignment horizontal="center" vertical="center"/>
    </xf>
    <xf numFmtId="3" fontId="13" fillId="7" borderId="21" xfId="2" applyNumberFormat="1" applyFont="1" applyFill="1" applyBorder="1" applyAlignment="1">
      <alignment horizontal="center" vertical="center"/>
    </xf>
    <xf numFmtId="3" fontId="13" fillId="7" borderId="22" xfId="2" applyNumberFormat="1" applyFont="1" applyFill="1" applyBorder="1" applyAlignment="1">
      <alignment horizontal="center" vertical="center"/>
    </xf>
    <xf numFmtId="167" fontId="10" fillId="5" borderId="24" xfId="2" applyNumberFormat="1" applyFont="1" applyFill="1" applyBorder="1" applyAlignment="1">
      <alignment horizontal="center" vertical="center" shrinkToFit="1"/>
    </xf>
    <xf numFmtId="167" fontId="10" fillId="5" borderId="31" xfId="2" applyNumberFormat="1" applyFont="1" applyFill="1" applyBorder="1" applyAlignment="1">
      <alignment horizontal="center" vertical="center" shrinkToFit="1"/>
    </xf>
    <xf numFmtId="167" fontId="10" fillId="5" borderId="42" xfId="2" applyNumberFormat="1" applyFont="1" applyFill="1" applyBorder="1" applyAlignment="1">
      <alignment horizontal="center" vertical="center" shrinkToFit="1"/>
    </xf>
    <xf numFmtId="3" fontId="13" fillId="7" borderId="30" xfId="2" applyNumberFormat="1" applyFont="1" applyFill="1" applyBorder="1" applyAlignment="1">
      <alignment horizontal="center" vertical="center" wrapText="1"/>
    </xf>
    <xf numFmtId="3" fontId="13" fillId="7" borderId="8" xfId="2" applyNumberFormat="1" applyFont="1" applyFill="1" applyBorder="1" applyAlignment="1">
      <alignment horizontal="center" vertical="center" wrapText="1"/>
    </xf>
    <xf numFmtId="3" fontId="13" fillId="7" borderId="29" xfId="2" applyNumberFormat="1" applyFont="1" applyFill="1" applyBorder="1" applyAlignment="1">
      <alignment horizontal="center" vertical="center" wrapText="1"/>
    </xf>
    <xf numFmtId="3" fontId="13" fillId="7" borderId="30" xfId="2" applyNumberFormat="1" applyFont="1" applyFill="1" applyBorder="1" applyAlignment="1">
      <alignment horizontal="center" vertical="center"/>
    </xf>
    <xf numFmtId="3" fontId="13" fillId="7" borderId="8" xfId="2" applyNumberFormat="1" applyFont="1" applyFill="1" applyBorder="1" applyAlignment="1">
      <alignment horizontal="center" vertical="center"/>
    </xf>
    <xf numFmtId="3" fontId="13" fillId="7" borderId="29" xfId="2" applyNumberFormat="1" applyFont="1" applyFill="1" applyBorder="1" applyAlignment="1">
      <alignment horizontal="center" vertical="center"/>
    </xf>
    <xf numFmtId="4" fontId="12" fillId="4" borderId="5" xfId="2" applyNumberFormat="1" applyFont="1" applyFill="1" applyBorder="1" applyAlignment="1">
      <alignment horizontal="center" vertical="center" shrinkToFit="1"/>
    </xf>
    <xf numFmtId="4" fontId="12" fillId="4" borderId="7" xfId="2" applyNumberFormat="1" applyFont="1" applyFill="1" applyBorder="1" applyAlignment="1">
      <alignment horizontal="center" vertical="center" shrinkToFit="1"/>
    </xf>
    <xf numFmtId="167" fontId="10" fillId="5" borderId="16" xfId="2" applyNumberFormat="1" applyFont="1" applyFill="1" applyBorder="1" applyAlignment="1">
      <alignment horizontal="center" vertical="center" textRotation="90" shrinkToFit="1"/>
    </xf>
    <xf numFmtId="167" fontId="10" fillId="5" borderId="25" xfId="2" applyNumberFormat="1" applyFont="1" applyFill="1" applyBorder="1" applyAlignment="1">
      <alignment horizontal="center" vertical="center" textRotation="90" shrinkToFit="1"/>
    </xf>
    <xf numFmtId="167" fontId="10" fillId="5" borderId="35" xfId="2" applyNumberFormat="1" applyFont="1" applyFill="1" applyBorder="1" applyAlignment="1">
      <alignment horizontal="center" vertical="center" textRotation="90" shrinkToFit="1"/>
    </xf>
    <xf numFmtId="1" fontId="10" fillId="6" borderId="17" xfId="2" applyNumberFormat="1" applyFont="1" applyFill="1" applyBorder="1" applyAlignment="1">
      <alignment horizontal="center" vertical="center" textRotation="90" wrapText="1" shrinkToFit="1"/>
    </xf>
    <xf numFmtId="1" fontId="10" fillId="6" borderId="26" xfId="2" applyNumberFormat="1" applyFont="1" applyFill="1" applyBorder="1" applyAlignment="1">
      <alignment horizontal="center" vertical="center" textRotation="90" wrapText="1" shrinkToFit="1"/>
    </xf>
    <xf numFmtId="167" fontId="10" fillId="6" borderId="18" xfId="2" applyNumberFormat="1" applyFont="1" applyFill="1" applyBorder="1" applyAlignment="1">
      <alignment horizontal="center" vertical="center" textRotation="90" wrapText="1" shrinkToFit="1"/>
    </xf>
    <xf numFmtId="167" fontId="10" fillId="6" borderId="27" xfId="2" applyNumberFormat="1" applyFont="1" applyFill="1" applyBorder="1" applyAlignment="1">
      <alignment horizontal="center" vertical="center" textRotation="90" wrapText="1" shrinkToFit="1"/>
    </xf>
    <xf numFmtId="167" fontId="10" fillId="6" borderId="19" xfId="2" applyNumberFormat="1" applyFont="1" applyFill="1" applyBorder="1" applyAlignment="1">
      <alignment horizontal="center" vertical="center" textRotation="90" wrapText="1" shrinkToFit="1"/>
    </xf>
    <xf numFmtId="167" fontId="10" fillId="6" borderId="28" xfId="2" applyNumberFormat="1" applyFont="1" applyFill="1" applyBorder="1" applyAlignment="1">
      <alignment horizontal="center" vertical="center" textRotation="90" wrapText="1" shrinkToFit="1"/>
    </xf>
    <xf numFmtId="1" fontId="10" fillId="6" borderId="20" xfId="2" applyNumberFormat="1" applyFont="1" applyFill="1" applyBorder="1" applyAlignment="1">
      <alignment horizontal="center" vertical="center" textRotation="90" shrinkToFit="1"/>
    </xf>
    <xf numFmtId="1" fontId="10" fillId="6" borderId="1" xfId="2" applyNumberFormat="1" applyFont="1" applyFill="1" applyBorder="1" applyAlignment="1">
      <alignment horizontal="center" vertical="center" textRotation="90" shrinkToFit="1"/>
    </xf>
    <xf numFmtId="167" fontId="10" fillId="5" borderId="21" xfId="2" applyNumberFormat="1" applyFont="1" applyFill="1" applyBorder="1" applyAlignment="1">
      <alignment horizontal="center" vertical="center" textRotation="90" shrinkToFit="1"/>
    </xf>
    <xf numFmtId="167" fontId="10" fillId="5" borderId="8" xfId="2" applyNumberFormat="1" applyFont="1" applyFill="1" applyBorder="1" applyAlignment="1">
      <alignment horizontal="center" vertical="center" textRotation="90" shrinkToFit="1"/>
    </xf>
    <xf numFmtId="167" fontId="10" fillId="5" borderId="36" xfId="2" applyNumberFormat="1" applyFont="1" applyFill="1" applyBorder="1" applyAlignment="1">
      <alignment horizontal="center" vertical="center" textRotation="90" shrinkToFit="1"/>
    </xf>
    <xf numFmtId="167" fontId="10" fillId="5" borderId="22" xfId="2" applyNumberFormat="1" applyFont="1" applyFill="1" applyBorder="1" applyAlignment="1">
      <alignment horizontal="center" vertical="center" textRotation="90" shrinkToFit="1"/>
    </xf>
    <xf numFmtId="167" fontId="10" fillId="5" borderId="29" xfId="2" applyNumberFormat="1" applyFont="1" applyFill="1" applyBorder="1" applyAlignment="1">
      <alignment horizontal="center" vertical="center" textRotation="90" shrinkToFit="1"/>
    </xf>
    <xf numFmtId="167" fontId="10" fillId="5" borderId="37" xfId="2" applyNumberFormat="1" applyFont="1" applyFill="1" applyBorder="1" applyAlignment="1">
      <alignment horizontal="center" vertical="center" textRotation="90" shrinkToFit="1"/>
    </xf>
    <xf numFmtId="167" fontId="3" fillId="5" borderId="23" xfId="2" applyNumberFormat="1" applyFont="1" applyFill="1" applyBorder="1" applyAlignment="1">
      <alignment horizontal="center" wrapText="1" shrinkToFit="1"/>
    </xf>
    <xf numFmtId="167" fontId="3" fillId="5" borderId="22" xfId="2" applyNumberFormat="1" applyFont="1" applyFill="1" applyBorder="1" applyAlignment="1">
      <alignment horizontal="center" wrapText="1" shrinkToFit="1"/>
    </xf>
    <xf numFmtId="167" fontId="3" fillId="5" borderId="30" xfId="2" applyNumberFormat="1" applyFont="1" applyFill="1" applyBorder="1" applyAlignment="1">
      <alignment horizontal="center" wrapText="1" shrinkToFit="1"/>
    </xf>
    <xf numFmtId="167" fontId="3" fillId="5" borderId="29" xfId="2" applyNumberFormat="1" applyFont="1" applyFill="1" applyBorder="1" applyAlignment="1">
      <alignment horizontal="center" wrapText="1" shrinkToFit="1"/>
    </xf>
    <xf numFmtId="3" fontId="13" fillId="7" borderId="23" xfId="2" applyNumberFormat="1" applyFont="1" applyFill="1" applyBorder="1" applyAlignment="1">
      <alignment horizontal="center" vertical="center" wrapText="1"/>
    </xf>
    <xf numFmtId="3" fontId="13" fillId="7" borderId="21" xfId="2" applyNumberFormat="1" applyFont="1" applyFill="1" applyBorder="1" applyAlignment="1">
      <alignment horizontal="center" vertical="center" wrapText="1"/>
    </xf>
    <xf numFmtId="3" fontId="13" fillId="7" borderId="22" xfId="2" applyNumberFormat="1" applyFont="1" applyFill="1" applyBorder="1" applyAlignment="1">
      <alignment horizontal="center" vertical="center" wrapText="1"/>
    </xf>
    <xf numFmtId="0" fontId="10" fillId="0" borderId="6" xfId="2" applyFont="1" applyBorder="1" applyAlignment="1">
      <alignment horizontal="left" vertical="center"/>
    </xf>
    <xf numFmtId="0" fontId="10" fillId="0" borderId="7" xfId="2" applyFont="1" applyBorder="1" applyAlignment="1">
      <alignment horizontal="left" vertical="center"/>
    </xf>
    <xf numFmtId="4" fontId="8" fillId="0" borderId="14" xfId="2" applyNumberFormat="1" applyFont="1" applyBorder="1" applyAlignment="1">
      <alignment horizontal="center" vertical="center" shrinkToFit="1"/>
    </xf>
    <xf numFmtId="4" fontId="8" fillId="0" borderId="5" xfId="2" applyNumberFormat="1" applyFont="1" applyBorder="1" applyAlignment="1">
      <alignment horizontal="center" vertical="center" shrinkToFit="1"/>
    </xf>
    <xf numFmtId="4" fontId="8" fillId="0" borderId="6" xfId="2" applyNumberFormat="1" applyFont="1" applyBorder="1" applyAlignment="1">
      <alignment horizontal="center" vertical="center" shrinkToFit="1"/>
    </xf>
    <xf numFmtId="4" fontId="8" fillId="0" borderId="7" xfId="2" applyNumberFormat="1" applyFont="1" applyBorder="1" applyAlignment="1">
      <alignment horizontal="center" vertical="center" shrinkToFit="1"/>
    </xf>
    <xf numFmtId="0" fontId="3" fillId="0" borderId="5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 wrapText="1"/>
    </xf>
    <xf numFmtId="0" fontId="5" fillId="0" borderId="6" xfId="2" applyFont="1" applyBorder="1" applyAlignment="1">
      <alignment horizontal="center" vertical="center" wrapText="1"/>
    </xf>
    <xf numFmtId="0" fontId="5" fillId="0" borderId="7" xfId="2" applyFont="1" applyBorder="1" applyAlignment="1">
      <alignment horizontal="center" vertical="center" wrapText="1"/>
    </xf>
    <xf numFmtId="0" fontId="6" fillId="0" borderId="2" xfId="2" applyFont="1" applyBorder="1" applyAlignment="1">
      <alignment horizontal="center" vertical="center" wrapText="1"/>
    </xf>
    <xf numFmtId="0" fontId="6" fillId="0" borderId="3" xfId="2" applyFont="1" applyBorder="1" applyAlignment="1">
      <alignment horizontal="center" vertical="center" wrapText="1"/>
    </xf>
    <xf numFmtId="0" fontId="6" fillId="0" borderId="4" xfId="2" applyFont="1" applyBorder="1" applyAlignment="1">
      <alignment horizontal="center" vertical="center" wrapText="1"/>
    </xf>
    <xf numFmtId="0" fontId="9" fillId="0" borderId="2" xfId="2" applyFont="1" applyBorder="1" applyAlignment="1">
      <alignment horizontal="center" vertical="center" wrapText="1"/>
    </xf>
    <xf numFmtId="0" fontId="9" fillId="0" borderId="3" xfId="2" applyFont="1" applyBorder="1" applyAlignment="1">
      <alignment horizontal="center" vertical="center" wrapText="1"/>
    </xf>
    <xf numFmtId="0" fontId="9" fillId="0" borderId="4" xfId="2" applyFont="1" applyBorder="1" applyAlignment="1">
      <alignment horizontal="center" vertical="center" wrapText="1"/>
    </xf>
    <xf numFmtId="0" fontId="9" fillId="0" borderId="11" xfId="2" applyFont="1" applyBorder="1" applyAlignment="1">
      <alignment horizontal="center" vertical="center" wrapText="1"/>
    </xf>
    <xf numFmtId="0" fontId="9" fillId="0" borderId="12" xfId="2" applyFont="1" applyBorder="1" applyAlignment="1">
      <alignment horizontal="center" vertical="center" wrapText="1"/>
    </xf>
    <xf numFmtId="0" fontId="9" fillId="0" borderId="13" xfId="2" applyFont="1" applyBorder="1" applyAlignment="1">
      <alignment horizontal="center" vertical="center" wrapText="1"/>
    </xf>
    <xf numFmtId="0" fontId="6" fillId="0" borderId="5" xfId="3" applyFont="1" applyBorder="1" applyAlignment="1">
      <alignment horizontal="center" vertical="center" wrapText="1"/>
    </xf>
    <xf numFmtId="0" fontId="6" fillId="0" borderId="6" xfId="3" applyFont="1" applyBorder="1" applyAlignment="1">
      <alignment horizontal="center" vertical="center" wrapText="1"/>
    </xf>
    <xf numFmtId="0" fontId="6" fillId="0" borderId="7" xfId="3" applyFont="1" applyBorder="1" applyAlignment="1">
      <alignment horizontal="center" vertical="center" wrapText="1"/>
    </xf>
    <xf numFmtId="0" fontId="6" fillId="0" borderId="5" xfId="4" applyFont="1" applyBorder="1" applyAlignment="1">
      <alignment horizontal="center" vertical="center" wrapText="1"/>
    </xf>
    <xf numFmtId="0" fontId="6" fillId="0" borderId="6" xfId="4" applyFont="1" applyBorder="1" applyAlignment="1">
      <alignment horizontal="center" vertical="center" wrapText="1"/>
    </xf>
    <xf numFmtId="0" fontId="6" fillId="0" borderId="7" xfId="4" applyFont="1" applyBorder="1" applyAlignment="1">
      <alignment horizontal="center" vertical="center" wrapText="1"/>
    </xf>
    <xf numFmtId="4" fontId="10" fillId="4" borderId="15" xfId="2" applyNumberFormat="1" applyFont="1" applyFill="1" applyBorder="1" applyAlignment="1">
      <alignment horizontal="center" vertical="center" shrinkToFit="1"/>
    </xf>
    <xf numFmtId="4" fontId="10" fillId="4" borderId="5" xfId="2" applyNumberFormat="1" applyFont="1" applyFill="1" applyBorder="1" applyAlignment="1">
      <alignment horizontal="center" vertical="center" shrinkToFit="1"/>
    </xf>
    <xf numFmtId="4" fontId="10" fillId="4" borderId="6" xfId="2" applyNumberFormat="1" applyFont="1" applyFill="1" applyBorder="1" applyAlignment="1">
      <alignment horizontal="center" vertical="center" shrinkToFit="1"/>
    </xf>
    <xf numFmtId="4" fontId="10" fillId="4" borderId="7" xfId="2" applyNumberFormat="1" applyFont="1" applyFill="1" applyBorder="1" applyAlignment="1">
      <alignment horizontal="center" vertical="center" shrinkToFit="1"/>
    </xf>
    <xf numFmtId="0" fontId="3" fillId="0" borderId="2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10" fillId="4" borderId="14" xfId="2" applyFont="1" applyFill="1" applyBorder="1" applyAlignment="1">
      <alignment horizontal="left" vertical="center"/>
    </xf>
    <xf numFmtId="165" fontId="8" fillId="0" borderId="14" xfId="2" applyNumberFormat="1" applyFont="1" applyBorder="1" applyAlignment="1">
      <alignment horizontal="center" vertical="center"/>
    </xf>
    <xf numFmtId="0" fontId="10" fillId="4" borderId="5" xfId="2" applyFont="1" applyFill="1" applyBorder="1" applyAlignment="1">
      <alignment horizontal="left" vertical="center"/>
    </xf>
    <xf numFmtId="0" fontId="10" fillId="4" borderId="6" xfId="2" applyFont="1" applyFill="1" applyBorder="1" applyAlignment="1">
      <alignment horizontal="left" vertical="center"/>
    </xf>
    <xf numFmtId="0" fontId="10" fillId="4" borderId="7" xfId="2" applyFont="1" applyFill="1" applyBorder="1" applyAlignment="1">
      <alignment horizontal="left" vertical="center"/>
    </xf>
    <xf numFmtId="0" fontId="8" fillId="0" borderId="15" xfId="2" applyFont="1" applyBorder="1" applyAlignment="1">
      <alignment horizontal="center" vertical="center"/>
    </xf>
    <xf numFmtId="4" fontId="10" fillId="4" borderId="11" xfId="2" applyNumberFormat="1" applyFont="1" applyFill="1" applyBorder="1" applyAlignment="1">
      <alignment horizontal="left" vertical="center" shrinkToFit="1"/>
    </xf>
    <xf numFmtId="4" fontId="10" fillId="4" borderId="12" xfId="2" applyNumberFormat="1" applyFont="1" applyFill="1" applyBorder="1" applyAlignment="1">
      <alignment horizontal="left" vertical="center" shrinkToFit="1"/>
    </xf>
    <xf numFmtId="4" fontId="10" fillId="4" borderId="13" xfId="2" applyNumberFormat="1" applyFont="1" applyFill="1" applyBorder="1" applyAlignment="1">
      <alignment horizontal="left" vertical="center" shrinkToFit="1"/>
    </xf>
  </cellXfs>
  <cellStyles count="11">
    <cellStyle name="Normal" xfId="0" builtinId="0"/>
    <cellStyle name="Normal 2" xfId="7" xr:uid="{E0F6FB4D-4F4E-4416-92F5-857AC78F9DAF}"/>
    <cellStyle name="Normal 2 2" xfId="5" xr:uid="{47E6001C-44BF-4385-A047-F35672721919}"/>
    <cellStyle name="Normal 3" xfId="1" xr:uid="{2E099B9F-8AB0-4BC3-AAF1-03E6DDD1A12E}"/>
    <cellStyle name="Normal 3 2" xfId="2" xr:uid="{7567122C-9726-4F9E-B565-39890C2E9CF5}"/>
    <cellStyle name="Normal 3 2 2" xfId="6" xr:uid="{80769C3D-7867-43DB-93AD-2A9E9953BCAB}"/>
    <cellStyle name="Normal 3 2 2 2 2 2" xfId="4" xr:uid="{D7A2BE9D-4984-473F-8399-A9903A147BBE}"/>
    <cellStyle name="Normal 3 2 2 2 2 2 2" xfId="9" xr:uid="{D96210A6-48F7-42B2-9FFD-5E82697DFD95}"/>
    <cellStyle name="Normal 3 2 8" xfId="3" xr:uid="{894FCF2B-E01F-4EE7-AABB-1D5F27AA2044}"/>
    <cellStyle name="Normal 3 2 8 2" xfId="8" xr:uid="{E139E21A-7616-4B5A-A0FC-BDC6899C50C5}"/>
    <cellStyle name="Porcentaje 2" xfId="10" xr:uid="{592989B5-280D-42B8-A409-6E31379772EA}"/>
  </cellStyles>
  <dxfs count="13">
    <dxf>
      <font>
        <condense val="0"/>
        <extend val="0"/>
        <color rgb="FFFF0000"/>
      </font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0000"/>
      </font>
      <fill>
        <patternFill>
          <bgColor rgb="FFFFFF00"/>
        </patternFill>
      </fill>
    </dxf>
    <dxf>
      <font>
        <b/>
        <i val="0"/>
        <strike val="0"/>
        <color rgb="FF00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64</xdr:col>
      <xdr:colOff>0</xdr:colOff>
      <xdr:row>3</xdr:row>
      <xdr:rowOff>0</xdr:rowOff>
    </xdr:from>
    <xdr:to>
      <xdr:col>64</xdr:col>
      <xdr:colOff>304800</xdr:colOff>
      <xdr:row>4</xdr:row>
      <xdr:rowOff>114300</xdr:rowOff>
    </xdr:to>
    <xdr:sp macro="" textlink="">
      <xdr:nvSpPr>
        <xdr:cNvPr id="6" name="AutoShape 1" descr="Mostrando Sin título-3.jpg">
          <a:extLst>
            <a:ext uri="{FF2B5EF4-FFF2-40B4-BE49-F238E27FC236}">
              <a16:creationId xmlns:a16="http://schemas.microsoft.com/office/drawing/2014/main" id="{99EEB737-3834-45CD-9E1D-F3BEDE6C2BD8}"/>
            </a:ext>
          </a:extLst>
        </xdr:cNvPr>
        <xdr:cNvSpPr>
          <a:spLocks noChangeAspect="1" noChangeArrowheads="1"/>
        </xdr:cNvSpPr>
      </xdr:nvSpPr>
      <xdr:spPr bwMode="auto">
        <a:xfrm>
          <a:off x="31746825" y="94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64</xdr:col>
      <xdr:colOff>0</xdr:colOff>
      <xdr:row>3</xdr:row>
      <xdr:rowOff>0</xdr:rowOff>
    </xdr:from>
    <xdr:to>
      <xdr:col>64</xdr:col>
      <xdr:colOff>304800</xdr:colOff>
      <xdr:row>4</xdr:row>
      <xdr:rowOff>114300</xdr:rowOff>
    </xdr:to>
    <xdr:sp macro="" textlink="">
      <xdr:nvSpPr>
        <xdr:cNvPr id="8" name="AutoShape 1" descr="Mostrando Sin título-3.jpg">
          <a:extLst>
            <a:ext uri="{FF2B5EF4-FFF2-40B4-BE49-F238E27FC236}">
              <a16:creationId xmlns:a16="http://schemas.microsoft.com/office/drawing/2014/main" id="{DC2875D3-82CD-4B9F-BC98-18A2C76FDBD7}"/>
            </a:ext>
          </a:extLst>
        </xdr:cNvPr>
        <xdr:cNvSpPr>
          <a:spLocks noChangeAspect="1" noChangeArrowheads="1"/>
        </xdr:cNvSpPr>
      </xdr:nvSpPr>
      <xdr:spPr bwMode="auto">
        <a:xfrm>
          <a:off x="31746825" y="94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178593</xdr:colOff>
      <xdr:row>0</xdr:row>
      <xdr:rowOff>47625</xdr:rowOff>
    </xdr:from>
    <xdr:to>
      <xdr:col>2</xdr:col>
      <xdr:colOff>245336</xdr:colOff>
      <xdr:row>2</xdr:row>
      <xdr:rowOff>247309</xdr:rowOff>
    </xdr:to>
    <xdr:pic>
      <xdr:nvPicPr>
        <xdr:cNvPr id="10" name="Imagen 9" descr="X:\CALIDAD\DOCUMENTOS INTERNOS\9. Logo empresa\LOGO 1200X1200PX.png">
          <a:extLst>
            <a:ext uri="{FF2B5EF4-FFF2-40B4-BE49-F238E27FC236}">
              <a16:creationId xmlns:a16="http://schemas.microsoft.com/office/drawing/2014/main" id="{DFB1486B-2204-4C0D-95E9-93DD4514CEB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8" y="47625"/>
          <a:ext cx="790643" cy="80928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178593</xdr:colOff>
      <xdr:row>0</xdr:row>
      <xdr:rowOff>47625</xdr:rowOff>
    </xdr:from>
    <xdr:to>
      <xdr:col>2</xdr:col>
      <xdr:colOff>245336</xdr:colOff>
      <xdr:row>2</xdr:row>
      <xdr:rowOff>247309</xdr:rowOff>
    </xdr:to>
    <xdr:pic>
      <xdr:nvPicPr>
        <xdr:cNvPr id="11" name="Imagen 10" descr="X:\CALIDAD\DOCUMENTOS INTERNOS\9. Logo empresa\LOGO 1200X1200PX.png">
          <a:extLst>
            <a:ext uri="{FF2B5EF4-FFF2-40B4-BE49-F238E27FC236}">
              <a16:creationId xmlns:a16="http://schemas.microsoft.com/office/drawing/2014/main" id="{B26755F1-FE0A-4D0C-ADD6-F52C023E021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8" y="47625"/>
          <a:ext cx="790643" cy="80928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FC31-2662-49F9-BA99-558F38B57518}">
  <dimension ref="A1:BL9"/>
  <sheetViews>
    <sheetView tabSelected="1" zoomScale="115" zoomScaleNormal="115" workbookViewId="0">
      <selection activeCell="AU9" sqref="AU8:BL9"/>
    </sheetView>
  </sheetViews>
  <sheetFormatPr baseColWidth="10" defaultColWidth="7.140625" defaultRowHeight="15" x14ac:dyDescent="0.25"/>
  <cols>
    <col min="1" max="1" width="3.5703125" customWidth="1"/>
    <col min="2" max="2" width="10.85546875" customWidth="1"/>
    <col min="3" max="3" width="11" customWidth="1"/>
    <col min="4" max="4" width="4.28515625" customWidth="1"/>
    <col min="5" max="5" width="3.85546875" customWidth="1"/>
    <col min="6" max="6" width="12.7109375" customWidth="1"/>
    <col min="7" max="7" width="12.28515625" customWidth="1"/>
    <col min="8" max="8" width="4.5703125" customWidth="1"/>
    <col min="9" max="9" width="3.85546875" bestFit="1" customWidth="1"/>
    <col min="10" max="10" width="4.5703125" customWidth="1"/>
    <col min="11" max="12" width="5.7109375" customWidth="1"/>
    <col min="13" max="13" width="9.85546875" customWidth="1"/>
    <col min="14" max="14" width="9.5703125" customWidth="1"/>
    <col min="15" max="15" width="6.28515625" customWidth="1"/>
    <col min="16" max="20" width="5.42578125" customWidth="1"/>
    <col min="21" max="21" width="6.5703125" customWidth="1"/>
    <col min="22" max="22" width="5.42578125" customWidth="1"/>
    <col min="23" max="24" width="5.7109375" customWidth="1"/>
    <col min="25" max="25" width="9.7109375" customWidth="1"/>
    <col min="26" max="26" width="9.42578125" customWidth="1"/>
    <col min="27" max="27" width="7.7109375" customWidth="1"/>
    <col min="28" max="28" width="9.42578125" customWidth="1"/>
    <col min="29" max="31" width="4.28515625" customWidth="1"/>
    <col min="32" max="38" width="6.140625" customWidth="1"/>
    <col min="39" max="39" width="6.7109375" customWidth="1"/>
    <col min="40" max="40" width="9.140625" customWidth="1"/>
    <col min="41" max="41" width="5.7109375" customWidth="1"/>
    <col min="42" max="42" width="8.85546875" customWidth="1"/>
    <col min="43" max="43" width="4.5703125" customWidth="1"/>
    <col min="44" max="45" width="9.140625" customWidth="1"/>
    <col min="46" max="46" width="15.140625" customWidth="1"/>
    <col min="47" max="49" width="11.85546875" customWidth="1"/>
    <col min="50" max="50" width="15.42578125" customWidth="1"/>
    <col min="51" max="51" width="15" customWidth="1"/>
    <col min="52" max="53" width="16" customWidth="1"/>
    <col min="54" max="54" width="15" bestFit="1" customWidth="1"/>
    <col min="55" max="55" width="15.140625" customWidth="1"/>
    <col min="56" max="56" width="9" customWidth="1"/>
    <col min="57" max="57" width="5.5703125" customWidth="1"/>
    <col min="58" max="58" width="4.28515625" customWidth="1"/>
    <col min="59" max="59" width="18.28515625" customWidth="1"/>
    <col min="61" max="61" width="6.85546875" customWidth="1"/>
    <col min="62" max="62" width="9" customWidth="1"/>
    <col min="63" max="63" width="11" customWidth="1"/>
    <col min="64" max="64" width="13.140625" customWidth="1"/>
  </cols>
  <sheetData>
    <row r="1" spans="1:64" ht="26.25" customHeight="1" thickBot="1" x14ac:dyDescent="0.3">
      <c r="A1" s="1"/>
      <c r="B1" s="2"/>
      <c r="C1" s="2"/>
      <c r="D1" s="3"/>
      <c r="E1" s="113" t="s">
        <v>0</v>
      </c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5"/>
      <c r="AP1" s="116" t="s">
        <v>1</v>
      </c>
      <c r="AQ1" s="117"/>
      <c r="AR1" s="117"/>
      <c r="AS1" s="117"/>
      <c r="AT1" s="118"/>
      <c r="AU1" s="4"/>
      <c r="AV1" s="4"/>
      <c r="AW1" s="4"/>
      <c r="AX1" s="5"/>
      <c r="AY1" s="6" t="s">
        <v>2</v>
      </c>
      <c r="AZ1" s="7">
        <v>100</v>
      </c>
      <c r="BA1" s="7">
        <v>125</v>
      </c>
      <c r="BB1" s="7">
        <v>160</v>
      </c>
      <c r="BC1" s="8">
        <v>200</v>
      </c>
      <c r="BD1" s="8">
        <v>400</v>
      </c>
      <c r="BE1" s="9">
        <v>500</v>
      </c>
      <c r="BF1" s="10"/>
      <c r="BG1" s="10"/>
      <c r="BH1" s="10"/>
      <c r="BI1" s="10"/>
      <c r="BJ1" s="11"/>
      <c r="BK1" s="11"/>
      <c r="BL1" s="11"/>
    </row>
    <row r="2" spans="1:64" ht="21.75" customHeight="1" thickBot="1" x14ac:dyDescent="0.3">
      <c r="A2" s="12"/>
      <c r="B2" s="13"/>
      <c r="C2" s="13"/>
      <c r="D2" s="14"/>
      <c r="E2" s="119" t="s">
        <v>3</v>
      </c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  <c r="AK2" s="120"/>
      <c r="AL2" s="120"/>
      <c r="AM2" s="120"/>
      <c r="AN2" s="120"/>
      <c r="AO2" s="121"/>
      <c r="AP2" s="125" t="s">
        <v>4</v>
      </c>
      <c r="AQ2" s="126"/>
      <c r="AR2" s="126"/>
      <c r="AS2" s="126"/>
      <c r="AT2" s="127"/>
      <c r="AU2" s="4"/>
      <c r="AV2" s="4"/>
      <c r="AW2" s="4"/>
      <c r="AX2" s="5"/>
      <c r="AY2" s="6" t="s">
        <v>5</v>
      </c>
      <c r="AZ2" s="9">
        <v>1.6</v>
      </c>
      <c r="BA2" s="9">
        <v>2.5</v>
      </c>
      <c r="BB2" s="15">
        <v>4</v>
      </c>
      <c r="BC2" s="9">
        <v>6.3</v>
      </c>
      <c r="BD2" s="9"/>
      <c r="BE2" s="9"/>
      <c r="BF2" s="10"/>
      <c r="BG2" s="10"/>
      <c r="BH2" s="10"/>
      <c r="BI2" s="10"/>
      <c r="BJ2" s="11"/>
      <c r="BK2" s="11"/>
      <c r="BL2" s="11"/>
    </row>
    <row r="3" spans="1:64" ht="26.25" customHeight="1" thickBot="1" x14ac:dyDescent="0.3">
      <c r="A3" s="16"/>
      <c r="B3" s="17"/>
      <c r="C3" s="17"/>
      <c r="D3" s="18"/>
      <c r="E3" s="122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  <c r="AC3" s="123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4"/>
      <c r="AP3" s="128" t="s">
        <v>6</v>
      </c>
      <c r="AQ3" s="129"/>
      <c r="AR3" s="129"/>
      <c r="AS3" s="129"/>
      <c r="AT3" s="130"/>
      <c r="AU3" s="4"/>
      <c r="AV3" s="4"/>
      <c r="AW3" s="4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1"/>
      <c r="BK3" s="11"/>
      <c r="BL3" s="11"/>
    </row>
    <row r="4" spans="1:64" ht="24.75" customHeight="1" thickBot="1" x14ac:dyDescent="0.3">
      <c r="A4" s="137" t="s">
        <v>7</v>
      </c>
      <c r="B4" s="137"/>
      <c r="C4" s="137"/>
      <c r="D4" s="137"/>
      <c r="E4" s="138">
        <v>2.5</v>
      </c>
      <c r="F4" s="138"/>
      <c r="G4" s="138"/>
      <c r="H4" s="138"/>
      <c r="I4" s="138"/>
      <c r="J4" s="139" t="s">
        <v>8</v>
      </c>
      <c r="K4" s="140"/>
      <c r="L4" s="140"/>
      <c r="M4" s="140"/>
      <c r="N4" s="141"/>
      <c r="O4" s="142">
        <v>160</v>
      </c>
      <c r="P4" s="142"/>
      <c r="Q4" s="142"/>
      <c r="R4" s="142"/>
      <c r="S4" s="143" t="s">
        <v>9</v>
      </c>
      <c r="T4" s="144"/>
      <c r="U4" s="144"/>
      <c r="V4" s="144"/>
      <c r="W4" s="144"/>
      <c r="X4" s="144"/>
      <c r="Y4" s="144"/>
      <c r="Z4" s="145"/>
      <c r="AA4" s="5"/>
      <c r="AB4" s="5"/>
      <c r="AC4" s="5"/>
      <c r="AD4" s="5"/>
      <c r="AE4" s="5"/>
      <c r="AF4" s="131" t="s">
        <v>10</v>
      </c>
      <c r="AG4" s="131"/>
      <c r="AH4" s="132" t="s">
        <v>11</v>
      </c>
      <c r="AI4" s="133"/>
      <c r="AJ4" s="134"/>
      <c r="AK4" s="132" t="s">
        <v>12</v>
      </c>
      <c r="AL4" s="133"/>
      <c r="AM4" s="134"/>
      <c r="AN4" s="79" t="s">
        <v>13</v>
      </c>
      <c r="AO4" s="80"/>
      <c r="AP4" s="135" t="s">
        <v>14</v>
      </c>
      <c r="AQ4" s="136"/>
      <c r="AR4" s="79" t="s">
        <v>15</v>
      </c>
      <c r="AS4" s="80"/>
      <c r="AT4" s="19" t="s">
        <v>14</v>
      </c>
      <c r="AU4" s="4"/>
      <c r="AV4" s="4"/>
      <c r="AW4" s="4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1"/>
      <c r="BK4" s="11"/>
      <c r="BL4" s="11"/>
    </row>
    <row r="5" spans="1:64" ht="27" customHeight="1" thickBot="1" x14ac:dyDescent="0.3">
      <c r="A5" s="105" t="s">
        <v>16</v>
      </c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6"/>
      <c r="AA5" s="20"/>
      <c r="AB5" s="20"/>
      <c r="AC5" s="20"/>
      <c r="AD5" s="20"/>
      <c r="AE5" s="20"/>
      <c r="AF5" s="107" t="s">
        <v>17</v>
      </c>
      <c r="AG5" s="107"/>
      <c r="AH5" s="108" t="s">
        <v>18</v>
      </c>
      <c r="AI5" s="109"/>
      <c r="AJ5" s="110"/>
      <c r="AK5" s="108" t="s">
        <v>19</v>
      </c>
      <c r="AL5" s="109"/>
      <c r="AM5" s="110"/>
      <c r="AN5" s="79" t="s">
        <v>20</v>
      </c>
      <c r="AO5" s="80"/>
      <c r="AP5" s="111" t="s">
        <v>14</v>
      </c>
      <c r="AQ5" s="112"/>
      <c r="AR5" s="79" t="s">
        <v>15</v>
      </c>
      <c r="AS5" s="80"/>
      <c r="AT5" s="19" t="s">
        <v>14</v>
      </c>
      <c r="AU5" s="4"/>
      <c r="AV5" s="4"/>
      <c r="AW5" s="4"/>
      <c r="AX5" s="2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1"/>
      <c r="BK5" s="11"/>
      <c r="BL5" s="11"/>
    </row>
    <row r="6" spans="1:64" ht="18.75" customHeight="1" x14ac:dyDescent="0.25">
      <c r="A6" s="81" t="s">
        <v>21</v>
      </c>
      <c r="B6" s="84" t="s">
        <v>22</v>
      </c>
      <c r="C6" s="86" t="s">
        <v>23</v>
      </c>
      <c r="D6" s="88" t="s">
        <v>24</v>
      </c>
      <c r="E6" s="90" t="s">
        <v>25</v>
      </c>
      <c r="F6" s="92" t="s">
        <v>26</v>
      </c>
      <c r="G6" s="95" t="s">
        <v>27</v>
      </c>
      <c r="H6" s="98" t="s">
        <v>28</v>
      </c>
      <c r="I6" s="99"/>
      <c r="J6" s="102">
        <f>+E4*1000</f>
        <v>2500</v>
      </c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4"/>
      <c r="V6" s="67">
        <f>AH6*1.6</f>
        <v>25</v>
      </c>
      <c r="W6" s="68"/>
      <c r="X6" s="68"/>
      <c r="Y6" s="68"/>
      <c r="Z6" s="68"/>
      <c r="AA6" s="68"/>
      <c r="AB6" s="68"/>
      <c r="AC6" s="68"/>
      <c r="AD6" s="68"/>
      <c r="AE6" s="68"/>
      <c r="AF6" s="68"/>
      <c r="AG6" s="69"/>
      <c r="AH6" s="67">
        <f>J6/O4</f>
        <v>15.625</v>
      </c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9"/>
      <c r="AT6" s="70" t="s">
        <v>29</v>
      </c>
      <c r="AU6" s="21"/>
      <c r="AV6" s="21"/>
      <c r="AW6" s="21"/>
      <c r="AX6" s="22"/>
      <c r="AY6" s="10"/>
      <c r="AZ6" s="10"/>
      <c r="BA6" s="10"/>
      <c r="BB6" s="23"/>
      <c r="BC6" s="23"/>
      <c r="BD6" s="23"/>
      <c r="BE6" s="23"/>
      <c r="BF6" s="23"/>
      <c r="BG6" s="23"/>
      <c r="BH6" s="23"/>
      <c r="BI6" s="23"/>
      <c r="BJ6" s="23"/>
      <c r="BK6" s="24"/>
      <c r="BL6" s="24"/>
    </row>
    <row r="7" spans="1:64" ht="25.5" customHeight="1" x14ac:dyDescent="0.25">
      <c r="A7" s="82"/>
      <c r="B7" s="85"/>
      <c r="C7" s="87"/>
      <c r="D7" s="89"/>
      <c r="E7" s="91"/>
      <c r="F7" s="93"/>
      <c r="G7" s="96"/>
      <c r="H7" s="100"/>
      <c r="I7" s="101"/>
      <c r="J7" s="73" t="s">
        <v>10</v>
      </c>
      <c r="K7" s="74"/>
      <c r="L7" s="74"/>
      <c r="M7" s="74"/>
      <c r="N7" s="74"/>
      <c r="O7" s="74"/>
      <c r="P7" s="74"/>
      <c r="Q7" s="74"/>
      <c r="R7" s="74"/>
      <c r="S7" s="74"/>
      <c r="T7" s="74"/>
      <c r="U7" s="75"/>
      <c r="V7" s="76" t="s">
        <v>11</v>
      </c>
      <c r="W7" s="77"/>
      <c r="X7" s="77"/>
      <c r="Y7" s="77"/>
      <c r="Z7" s="77"/>
      <c r="AA7" s="77"/>
      <c r="AB7" s="77"/>
      <c r="AC7" s="77"/>
      <c r="AD7" s="77"/>
      <c r="AE7" s="77"/>
      <c r="AF7" s="77"/>
      <c r="AG7" s="78"/>
      <c r="AH7" s="76" t="s">
        <v>12</v>
      </c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78"/>
      <c r="AT7" s="71"/>
      <c r="AU7" s="21"/>
      <c r="AV7" s="21"/>
      <c r="AW7" s="21"/>
      <c r="AX7" s="21"/>
      <c r="AY7" s="57" t="s">
        <v>30</v>
      </c>
      <c r="AZ7" s="58"/>
      <c r="BA7" s="59"/>
      <c r="BB7" s="23"/>
      <c r="BC7" s="23"/>
      <c r="BD7" s="23"/>
      <c r="BE7" s="23"/>
      <c r="BF7" s="23"/>
      <c r="BG7" s="23"/>
      <c r="BH7" s="23"/>
      <c r="BI7" s="23"/>
      <c r="BJ7" s="23"/>
      <c r="BK7" s="24"/>
      <c r="BL7" s="24"/>
    </row>
    <row r="8" spans="1:64" ht="83.25" customHeight="1" x14ac:dyDescent="0.25">
      <c r="A8" s="83"/>
      <c r="B8" s="85"/>
      <c r="C8" s="87"/>
      <c r="D8" s="89"/>
      <c r="E8" s="91"/>
      <c r="F8" s="94"/>
      <c r="G8" s="97"/>
      <c r="H8" s="28" t="s">
        <v>31</v>
      </c>
      <c r="I8" s="29" t="s">
        <v>29</v>
      </c>
      <c r="J8" s="30" t="s">
        <v>32</v>
      </c>
      <c r="K8" s="31" t="s">
        <v>33</v>
      </c>
      <c r="L8" s="31" t="s">
        <v>34</v>
      </c>
      <c r="M8" s="32" t="s">
        <v>35</v>
      </c>
      <c r="N8" s="32" t="s">
        <v>36</v>
      </c>
      <c r="O8" s="27" t="s">
        <v>37</v>
      </c>
      <c r="P8" s="60" t="s">
        <v>38</v>
      </c>
      <c r="Q8" s="61"/>
      <c r="R8" s="61"/>
      <c r="S8" s="62"/>
      <c r="T8" s="33" t="s">
        <v>10</v>
      </c>
      <c r="U8" s="34" t="s">
        <v>39</v>
      </c>
      <c r="V8" s="30" t="s">
        <v>32</v>
      </c>
      <c r="W8" s="31" t="s">
        <v>33</v>
      </c>
      <c r="X8" s="31" t="s">
        <v>34</v>
      </c>
      <c r="Y8" s="32" t="s">
        <v>35</v>
      </c>
      <c r="Z8" s="32" t="s">
        <v>36</v>
      </c>
      <c r="AA8" s="27" t="s">
        <v>37</v>
      </c>
      <c r="AB8" s="63" t="s">
        <v>38</v>
      </c>
      <c r="AC8" s="63"/>
      <c r="AD8" s="63"/>
      <c r="AE8" s="63"/>
      <c r="AF8" s="33" t="s">
        <v>11</v>
      </c>
      <c r="AG8" s="34" t="s">
        <v>39</v>
      </c>
      <c r="AH8" s="30" t="s">
        <v>32</v>
      </c>
      <c r="AI8" s="31" t="s">
        <v>33</v>
      </c>
      <c r="AJ8" s="31" t="s">
        <v>34</v>
      </c>
      <c r="AK8" s="32" t="s">
        <v>35</v>
      </c>
      <c r="AL8" s="32" t="s">
        <v>36</v>
      </c>
      <c r="AM8" s="27" t="s">
        <v>37</v>
      </c>
      <c r="AN8" s="63" t="s">
        <v>38</v>
      </c>
      <c r="AO8" s="63"/>
      <c r="AP8" s="63"/>
      <c r="AQ8" s="63"/>
      <c r="AR8" s="33" t="s">
        <v>12</v>
      </c>
      <c r="AS8" s="34" t="s">
        <v>39</v>
      </c>
      <c r="AT8" s="72"/>
      <c r="AU8" s="23"/>
      <c r="AV8" s="23"/>
      <c r="AW8" s="23"/>
      <c r="AX8" s="35" t="s">
        <v>40</v>
      </c>
      <c r="AY8" s="36" t="s">
        <v>12</v>
      </c>
      <c r="AZ8" s="36" t="s">
        <v>11</v>
      </c>
      <c r="BA8" s="36" t="s">
        <v>10</v>
      </c>
      <c r="BB8" s="64" t="s">
        <v>41</v>
      </c>
      <c r="BC8" s="65"/>
      <c r="BD8" s="65"/>
      <c r="BE8" s="65"/>
      <c r="BF8" s="65"/>
      <c r="BG8" s="65"/>
      <c r="BH8" s="65"/>
      <c r="BI8" s="65"/>
      <c r="BJ8" s="65"/>
      <c r="BK8" s="65"/>
      <c r="BL8" s="66"/>
    </row>
    <row r="9" spans="1:64" x14ac:dyDescent="0.25">
      <c r="A9" s="37">
        <v>1</v>
      </c>
      <c r="B9" s="38"/>
      <c r="C9" s="38"/>
      <c r="D9" s="39"/>
      <c r="E9" s="37"/>
      <c r="F9" s="40"/>
      <c r="G9" s="41"/>
      <c r="H9" s="42"/>
      <c r="I9" s="43"/>
      <c r="J9" s="44"/>
      <c r="K9" s="45"/>
      <c r="L9" s="45"/>
      <c r="M9" s="46"/>
      <c r="N9" s="46"/>
      <c r="O9" s="47"/>
      <c r="P9" s="26"/>
      <c r="Q9" s="48" t="str">
        <f>LEFT(P9,1)</f>
        <v/>
      </c>
      <c r="R9" s="48" t="str">
        <f>RIGHT(P9,6)</f>
        <v/>
      </c>
      <c r="S9" s="48" t="e">
        <f>+(Q9*60+R9)/(60*60)</f>
        <v>#VALUE!</v>
      </c>
      <c r="T9" s="49" t="e">
        <f>+O9/S9</f>
        <v>#VALUE!</v>
      </c>
      <c r="U9" s="50" t="e">
        <f>+(((N9-M9-O9)/O9)*100)</f>
        <v>#DIV/0!</v>
      </c>
      <c r="V9" s="44"/>
      <c r="W9" s="45"/>
      <c r="X9" s="45"/>
      <c r="Y9" s="46"/>
      <c r="Z9" s="46"/>
      <c r="AA9" s="51"/>
      <c r="AB9" s="26"/>
      <c r="AC9" s="48" t="str">
        <f>LEFT(AB9,2)</f>
        <v/>
      </c>
      <c r="AD9" s="48" t="str">
        <f>RIGHT(AB9,6)</f>
        <v/>
      </c>
      <c r="AE9" s="48" t="e">
        <f>+(AC9*60+AD9)/(60*60)</f>
        <v>#VALUE!</v>
      </c>
      <c r="AF9" s="49" t="e">
        <f>+AA9/AE9</f>
        <v>#VALUE!</v>
      </c>
      <c r="AG9" s="52" t="e">
        <f>+(((Z9-Y9-AA9)/AA9)*100)</f>
        <v>#DIV/0!</v>
      </c>
      <c r="AH9" s="44"/>
      <c r="AI9" s="45"/>
      <c r="AJ9" s="45"/>
      <c r="AK9" s="46"/>
      <c r="AL9" s="46"/>
      <c r="AM9" s="53"/>
      <c r="AN9" s="26"/>
      <c r="AO9" s="48" t="str">
        <f>LEFT(AN9,2)</f>
        <v/>
      </c>
      <c r="AP9" s="48" t="str">
        <f>RIGHT(AN9,6)</f>
        <v/>
      </c>
      <c r="AQ9" s="48" t="e">
        <f>+(AO9*60+AP9)/(60*60)</f>
        <v>#VALUE!</v>
      </c>
      <c r="AR9" s="49" t="e">
        <f>+AM9/AQ9</f>
        <v>#VALUE!</v>
      </c>
      <c r="AS9" s="52" t="e">
        <f>+(((AL9-AK9-AM9)/AM9)*100)</f>
        <v>#DIV/0!</v>
      </c>
      <c r="AT9" s="54" t="e">
        <f t="shared" ref="AT9" si="0">IF(I9&gt;=1,"NO CONFORME",IF(BK9="SIGDIFERENTES",BC9,BL9))</f>
        <v>#DIV/0!</v>
      </c>
      <c r="AU9" s="25" t="b">
        <f>B9&lt;=C9</f>
        <v>1</v>
      </c>
      <c r="AV9" s="25" t="b">
        <f>N9&lt;Y9</f>
        <v>0</v>
      </c>
      <c r="AW9" s="25" t="b">
        <f>Z9&lt;=AK9</f>
        <v>1</v>
      </c>
      <c r="AX9" s="25" t="e">
        <f>IF(I9&gt;=1,"Qcorrecto",IF(AND(AY9="aceptable",AZ9="aceptable",BA9="aceptable"),"Qcorrecto","Qincorrecto"))</f>
        <v>#VALUE!</v>
      </c>
      <c r="AY9" s="25" t="e">
        <f t="shared" ref="AY9" si="1">IF(AR9&lt;$AH$6,"error",IF(AR9&gt;$AH$6*1.1,"error","aceptable"))</f>
        <v>#VALUE!</v>
      </c>
      <c r="AZ9" s="25" t="e">
        <f t="shared" ref="AZ9" si="2">IF(AF9&lt;$V$6,"error",IF(AF9&gt;$V$6*1.1,"error","aceptable"))</f>
        <v>#VALUE!</v>
      </c>
      <c r="BA9" s="25" t="e">
        <f>IF(T9&lt;$J$6*0.9,"error",IF(T9&gt;$J$6,"error","aceptable"))</f>
        <v>#VALUE!</v>
      </c>
      <c r="BB9" s="55" t="e">
        <f>(IF(ABS(U9)&lt;1.05,"CONFORME",IF(ABS(AG9)&lt;1.05,"CONFORME",IF(ABS(AS9)&lt;2.55,"CONFORME","NO CONFORME"))))</f>
        <v>#DIV/0!</v>
      </c>
      <c r="BC9" s="56" t="e">
        <f>(IF(ABS(U9)&gt;2.05,"NO CONFORME",IF(ABS(AG9)&gt;2.05,"NO CONFORME",IF(ABS(AS9)&gt;5.05,"NO CONFORME","CONFORME"))))</f>
        <v>#DIV/0!</v>
      </c>
      <c r="BD9" s="54" t="e">
        <f t="shared" ref="BD9" si="3">SIGN(U9)</f>
        <v>#DIV/0!</v>
      </c>
      <c r="BE9" s="54" t="e">
        <f t="shared" ref="BE9" si="4">SIGN(AG9)</f>
        <v>#DIV/0!</v>
      </c>
      <c r="BF9" s="54" t="e">
        <f t="shared" ref="BF9" si="5">SIGN(AS9)</f>
        <v>#DIV/0!</v>
      </c>
      <c r="BG9" s="54" t="e">
        <f t="shared" ref="BG9" si="6">CONCATENATE(BD9,BE9,BF9)</f>
        <v>#DIV/0!</v>
      </c>
      <c r="BH9" s="54" t="e">
        <f t="shared" ref="BH9" si="7">IF(BG9="111","SI","SD")</f>
        <v>#DIV/0!</v>
      </c>
      <c r="BI9" s="54" t="e">
        <f t="shared" ref="BI9" si="8">IF(BG9="-1-1-1","SI","SD")</f>
        <v>#DIV/0!</v>
      </c>
      <c r="BJ9" s="54" t="e">
        <f t="shared" ref="BJ9" si="9">OR(BH9="SI",BI9="SI")</f>
        <v>#DIV/0!</v>
      </c>
      <c r="BK9" s="54" t="e">
        <f t="shared" ref="BK9" si="10">IF(BJ9=FALSE,"SIGDIFERENTES","SIGIGUALES")</f>
        <v>#DIV/0!</v>
      </c>
      <c r="BL9" s="25" t="e">
        <f t="shared" ref="BL9" si="11">IF(BC9="NO CONFORME","NO CONFORME",IF(BB9="CONFORME","CONFORME","NO CONFORME"))</f>
        <v>#DIV/0!</v>
      </c>
    </row>
  </sheetData>
  <protectedRanges>
    <protectedRange sqref="J6 V6 AH6:AH7 E4 O4" name="Rango3"/>
    <protectedRange sqref="V9:AB9" name="Rango2"/>
    <protectedRange sqref="A9:P9" name="Rango1"/>
    <protectedRange sqref="AH9:AN9" name="Rango4"/>
  </protectedRanges>
  <mergeCells count="43">
    <mergeCell ref="A4:D4"/>
    <mergeCell ref="E4:I4"/>
    <mergeCell ref="J4:N4"/>
    <mergeCell ref="O4:R4"/>
    <mergeCell ref="S4:Z4"/>
    <mergeCell ref="AR4:AS4"/>
    <mergeCell ref="E1:AO1"/>
    <mergeCell ref="AP1:AT1"/>
    <mergeCell ref="E2:AO3"/>
    <mergeCell ref="AP2:AT2"/>
    <mergeCell ref="AP3:AT3"/>
    <mergeCell ref="AF4:AG4"/>
    <mergeCell ref="AH4:AJ4"/>
    <mergeCell ref="AK4:AM4"/>
    <mergeCell ref="AN4:AO4"/>
    <mergeCell ref="AP4:AQ4"/>
    <mergeCell ref="AR5:AS5"/>
    <mergeCell ref="A6:A8"/>
    <mergeCell ref="B6:B8"/>
    <mergeCell ref="C6:C8"/>
    <mergeCell ref="D6:D8"/>
    <mergeCell ref="E6:E8"/>
    <mergeCell ref="F6:F8"/>
    <mergeCell ref="G6:G8"/>
    <mergeCell ref="H6:I7"/>
    <mergeCell ref="J6:U6"/>
    <mergeCell ref="A5:Z5"/>
    <mergeCell ref="AF5:AG5"/>
    <mergeCell ref="AH5:AJ5"/>
    <mergeCell ref="AK5:AM5"/>
    <mergeCell ref="AN5:AO5"/>
    <mergeCell ref="AP5:AQ5"/>
    <mergeCell ref="V6:AG6"/>
    <mergeCell ref="AH6:AS6"/>
    <mergeCell ref="AT6:AT8"/>
    <mergeCell ref="J7:U7"/>
    <mergeCell ref="V7:AG7"/>
    <mergeCell ref="AH7:AS7"/>
    <mergeCell ref="AY7:BA7"/>
    <mergeCell ref="P8:S8"/>
    <mergeCell ref="AB8:AE8"/>
    <mergeCell ref="AN8:AQ8"/>
    <mergeCell ref="BB8:BL8"/>
  </mergeCells>
  <conditionalFormatting sqref="U9 AG9 AS9">
    <cfRule type="cellIs" dxfId="12" priority="19" operator="between">
      <formula>100.01</formula>
      <formula>100000000</formula>
    </cfRule>
    <cfRule type="cellIs" dxfId="11" priority="20" operator="lessThanOrEqual">
      <formula>-100.01</formula>
    </cfRule>
  </conditionalFormatting>
  <conditionalFormatting sqref="U9 AG9">
    <cfRule type="cellIs" dxfId="10" priority="17" operator="between">
      <formula>-2.044</formula>
      <formula>-100</formula>
    </cfRule>
    <cfRule type="cellIs" dxfId="9" priority="18" operator="between">
      <formula>2.044</formula>
      <formula>100</formula>
    </cfRule>
  </conditionalFormatting>
  <conditionalFormatting sqref="AS9">
    <cfRule type="cellIs" dxfId="8" priority="21" operator="between">
      <formula>-5.044</formula>
      <formula>-100</formula>
    </cfRule>
    <cfRule type="cellIs" dxfId="7" priority="22" operator="between">
      <formula>5.044</formula>
      <formula>100</formula>
    </cfRule>
  </conditionalFormatting>
  <conditionalFormatting sqref="AT9:AT1048576">
    <cfRule type="cellIs" dxfId="6" priority="23" operator="equal">
      <formula>"NO CONFORME"</formula>
    </cfRule>
  </conditionalFormatting>
  <conditionalFormatting sqref="AU8:AW8">
    <cfRule type="cellIs" dxfId="5" priority="16" operator="equal">
      <formula>"NO CONFORME"</formula>
    </cfRule>
  </conditionalFormatting>
  <conditionalFormatting sqref="AX9:AX1048576">
    <cfRule type="expression" dxfId="4" priority="3">
      <formula>AX9="Qincorrecto"</formula>
    </cfRule>
    <cfRule type="expression" dxfId="3" priority="4">
      <formula>AX9="Qcorrecto"</formula>
    </cfRule>
  </conditionalFormatting>
  <conditionalFormatting sqref="AY9:BA1048576">
    <cfRule type="cellIs" dxfId="2" priority="1" operator="equal">
      <formula>"error"</formula>
    </cfRule>
    <cfRule type="cellIs" dxfId="1" priority="2" operator="equal">
      <formula>#REF!</formula>
    </cfRule>
  </conditionalFormatting>
  <conditionalFormatting sqref="BB9:BC1048576">
    <cfRule type="cellIs" dxfId="0" priority="5" stopIfTrue="1" operator="notBetween">
      <formula>"APROBADO"</formula>
      <formula>"APROBADO"</formula>
    </cfRule>
  </conditionalFormatting>
  <dataValidations disablePrompts="1" count="2">
    <dataValidation type="list" allowBlank="1" showInputMessage="1" showErrorMessage="1" sqref="O4:R4" xr:uid="{BAC1DA7B-5F05-4D7A-8607-B7D742A42AEA}">
      <formula1>$AZ$1:$BE$1</formula1>
    </dataValidation>
    <dataValidation type="list" allowBlank="1" showInputMessage="1" showErrorMessage="1" sqref="E4:I4" xr:uid="{1914A141-6BA9-404D-8AA3-1C053DAE3E3C}">
      <formula1>$AZ$2:$BC$2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390DC-7C6F-4CA4-A003-40136B435727}">
  <dimension ref="B2:C8"/>
  <sheetViews>
    <sheetView workbookViewId="0">
      <selection activeCell="C6" sqref="C6:C8"/>
    </sheetView>
  </sheetViews>
  <sheetFormatPr baseColWidth="10" defaultRowHeight="15" x14ac:dyDescent="0.25"/>
  <sheetData>
    <row r="2" spans="2:3" x14ac:dyDescent="0.25">
      <c r="B2" t="s">
        <v>42</v>
      </c>
      <c r="C2" t="s">
        <v>43</v>
      </c>
    </row>
    <row r="3" spans="2:3" x14ac:dyDescent="0.25">
      <c r="C3" t="s">
        <v>44</v>
      </c>
    </row>
    <row r="4" spans="2:3" x14ac:dyDescent="0.25">
      <c r="C4" t="s">
        <v>45</v>
      </c>
    </row>
    <row r="5" spans="2:3" x14ac:dyDescent="0.25">
      <c r="C5" t="s">
        <v>46</v>
      </c>
    </row>
    <row r="6" spans="2:3" x14ac:dyDescent="0.25">
      <c r="C6" t="s">
        <v>42</v>
      </c>
    </row>
    <row r="7" spans="2:3" x14ac:dyDescent="0.25">
      <c r="C7" t="s">
        <v>47</v>
      </c>
    </row>
    <row r="8" spans="2:3" x14ac:dyDescent="0.25">
      <c r="C8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medileser SAC</dc:creator>
  <cp:lastModifiedBy>medileser SAC</cp:lastModifiedBy>
  <dcterms:created xsi:type="dcterms:W3CDTF">2025-11-10T19:44:29Z</dcterms:created>
  <dcterms:modified xsi:type="dcterms:W3CDTF">2025-11-14T20:45:32Z</dcterms:modified>
</cp:coreProperties>
</file>